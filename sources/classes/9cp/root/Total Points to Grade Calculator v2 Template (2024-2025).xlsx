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<sst xmlns="http://schemas.openxmlformats.org/spreadsheetml/2006/main" count="41" uniqueCount="30">
  <si>
    <t>Total Points Possible (Excluding Extra Credit)</t>
  </si>
  <si>
    <t>Points Earned (Including Extra Credit)</t>
  </si>
  <si>
    <t>Grade</t>
  </si>
  <si>
    <t>Minimum Points to Achieve Grade</t>
  </si>
  <si>
    <t>Minimum Points Needed to Reach Grade</t>
  </si>
  <si>
    <t>A+</t>
  </si>
  <si>
    <t>-</t>
  </si>
  <si>
    <t>A</t>
  </si>
  <si>
    <t>A-</t>
  </si>
  <si>
    <t xml:space="preserve"> 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</si>
  <si>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</si>
  <si>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</si>
  <si>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</si>
  <si>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</si>
  <si>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</si>
  <si>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</si>
  <si>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</si>
  <si>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</si>
  <si>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</si>
  <si>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</si>
  <si>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&amp;</t>
  </si>
  <si>
    <t>below</t>
  </si>
  <si>
    <t>N/A</t>
  </si>
  <si>
    <t>The addition of every new assignment will change the math.</t>
  </si>
  <si>
    <t>Points must be made up from the assignments that are part of this calculation or from extra credit.</t>
  </si>
  <si>
    <t>The later it is in the semester, the more points are needed to raise your grade.</t>
  </si>
  <si>
    <t>Any grade awarded from a future assignment that is higher than your current grade will bring your grade up.</t>
  </si>
  <si>
    <t>Total Point Possible may vary by student due to excused assignments or late enrollment.</t>
  </si>
  <si>
    <t>Slides: Tracking Grades</t>
  </si>
  <si>
    <t>Course Website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</si>
</sst>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9.0"/>
      <color rgb="FF1F1F1F"/>
      <name val="&quot;Google Sans&quot;"/>
    </font>
    <font>
      <sz val="14.0"/>
      <color theme="1"/>
      <name val="Arial"/>
      <scheme val="minor"/>
    </font>
    <font>
      <u/>
      <sz val="14.0"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1" fillId="3" fontId="3" numFmtId="3" xfId="0" applyAlignment="1" applyBorder="1" applyFill="1" applyFont="1" applyNumberFormat="1">
      <alignment horizontal="center" readingOrder="0"/>
    </xf>
    <xf borderId="0" fillId="2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4" fontId="3" numFmtId="3" xfId="0" applyAlignment="1" applyFill="1" applyFont="1" applyNumberFormat="1">
      <alignment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left"/>
    </xf>
    <xf borderId="0" fillId="0" fontId="3" numFmtId="0" xfId="0" applyFont="1"/>
    <xf borderId="0" fillId="7" fontId="3" numFmtId="3" xfId="0" applyFill="1" applyFont="1" applyNumberFormat="1"/>
    <xf borderId="0" fillId="0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6" fontId="3" numFmtId="3" xfId="0" applyAlignment="1" applyFont="1" applyNumberFormat="1">
      <alignment horizontal="left"/>
    </xf>
    <xf borderId="0" fillId="6" fontId="3" numFmtId="3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5" fontId="5" numFmtId="0" xfId="0" applyAlignment="1" applyFont="1">
      <alignment readingOrder="0"/>
    </xf>
    <xf borderId="0" fillId="2" fontId="4" numFmtId="0" xfId="0" applyFont="1"/>
    <xf borderId="2" fillId="7" fontId="3" numFmtId="3" xfId="0" applyBorder="1" applyFont="1" applyNumberFormat="1"/>
    <xf borderId="0" fillId="6" fontId="3" numFmtId="0" xfId="0" applyAlignment="1" applyFont="1">
      <alignment horizontal="left" readingOrder="0"/>
    </xf>
    <xf borderId="0" fillId="7" fontId="3" numFmtId="3" xfId="0" applyAlignment="1" applyFont="1" applyNumberFormat="1">
      <alignment horizontal="right"/>
    </xf>
    <xf borderId="0" fillId="0" fontId="4" numFmtId="0" xfId="0" applyAlignment="1" applyFont="1">
      <alignment horizontal="center"/>
    </xf>
    <xf borderId="0" fillId="0" fontId="4" numFmtId="0" xfId="0" applyFont="1"/>
    <xf borderId="0" fillId="5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19100" cy="4191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19100" cy="4191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219325" cy="7048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152650" cy="6762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HH7dO7rSLtl_1r0lwFqCEeVnnpkx19eL6dp_I1DWx9U/edit?usp=sharing" TargetMode="External"/><Relationship Id="rId2" Type="http://schemas.openxmlformats.org/officeDocument/2006/relationships/hyperlink" Target="https://sites.google.com/lodiusd.org/mratokay/hom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28.25"/>
    <col customWidth="1" min="3" max="3" width="4.38"/>
    <col customWidth="1" min="4" max="4" width="10.63"/>
    <col customWidth="1" min="5" max="5" width="34.88"/>
    <col customWidth="1" min="6" max="6" width="7.25"/>
    <col customWidth="1" min="7" max="7" width="32.0"/>
    <col customWidth="1" min="8" max="8" width="3.75"/>
    <col customWidth="1" min="9" max="9" width="36.88"/>
  </cols>
  <sheetData>
    <row r="1">
      <c r="A1" s="1" t="s">
        <v>0</v>
      </c>
      <c r="B1" s="1" t="s">
        <v>1</v>
      </c>
      <c r="C1" s="2"/>
      <c r="D1" s="3" t="s">
        <v>2</v>
      </c>
      <c r="E1" s="3" t="s">
        <v>3</v>
      </c>
      <c r="F1" s="3"/>
      <c r="G1" s="3"/>
      <c r="H1" s="3"/>
      <c r="I1" s="3" t="s">
        <v>4</v>
      </c>
      <c r="J1" s="4"/>
    </row>
    <row r="2">
      <c r="A2" s="5"/>
      <c r="B2" s="5"/>
      <c r="C2" s="6"/>
      <c r="D2" s="7" t="s">
        <v>5</v>
      </c>
      <c r="E2" s="8">
        <f>A2*0.99</f>
        <v>0</v>
      </c>
      <c r="F2" s="9" t="s">
        <v>6</v>
      </c>
      <c r="G2" s="10"/>
      <c r="H2" s="11"/>
      <c r="I2" s="12">
        <f>E2-B2</f>
        <v>0</v>
      </c>
      <c r="J2" s="13"/>
    </row>
    <row r="3">
      <c r="A3" s="14"/>
      <c r="B3" s="14"/>
      <c r="C3" s="6"/>
      <c r="D3" s="7" t="s">
        <v>7</v>
      </c>
      <c r="E3" s="8">
        <f>A2*0.92</f>
        <v>0</v>
      </c>
      <c r="F3" s="9" t="s">
        <v>6</v>
      </c>
      <c r="G3" s="15">
        <f t="shared" ref="G3:G13" si="1">E2-1</f>
        <v>-1</v>
      </c>
      <c r="H3" s="11"/>
      <c r="I3" s="12">
        <f>E3-B2</f>
        <v>0</v>
      </c>
      <c r="J3" s="13"/>
    </row>
    <row r="4">
      <c r="A4" s="14"/>
      <c r="B4" s="14"/>
      <c r="C4" s="6"/>
      <c r="D4" s="7" t="s">
        <v>8</v>
      </c>
      <c r="E4" s="8">
        <f>A2*0.9</f>
        <v>0</v>
      </c>
      <c r="F4" s="9" t="s">
        <v>6</v>
      </c>
      <c r="G4" s="16">
        <f t="shared" si="1"/>
        <v>-1</v>
      </c>
      <c r="H4" s="11"/>
      <c r="I4" s="12">
        <f>E4-B2</f>
        <v>0</v>
      </c>
      <c r="J4" s="13"/>
    </row>
    <row r="5">
      <c r="A5" s="14"/>
      <c r="B5" s="17" t="s">
        <v>9</v>
      </c>
      <c r="C5" s="6"/>
      <c r="D5" s="7" t="s">
        <v>10</v>
      </c>
      <c r="E5" s="8">
        <f>A2*0.88</f>
        <v>0</v>
      </c>
      <c r="F5" s="9" t="s">
        <v>6</v>
      </c>
      <c r="G5" s="16">
        <f t="shared" si="1"/>
        <v>-1</v>
      </c>
      <c r="H5" s="11"/>
      <c r="I5" s="12">
        <f>E5-B2</f>
        <v>0</v>
      </c>
      <c r="J5" s="13"/>
    </row>
    <row r="6">
      <c r="A6" s="14"/>
      <c r="C6" s="6"/>
      <c r="D6" s="7" t="s">
        <v>11</v>
      </c>
      <c r="E6" s="8">
        <f>A2*0.82</f>
        <v>0</v>
      </c>
      <c r="F6" s="9" t="s">
        <v>6</v>
      </c>
      <c r="G6" s="16">
        <f t="shared" si="1"/>
        <v>-1</v>
      </c>
      <c r="H6" s="11"/>
      <c r="I6" s="12">
        <f>E6-B2</f>
        <v>0</v>
      </c>
      <c r="J6" s="13"/>
    </row>
    <row r="7">
      <c r="A7" s="18"/>
      <c r="B7" s="14"/>
      <c r="C7" s="6"/>
      <c r="D7" s="7" t="s">
        <v>12</v>
      </c>
      <c r="E7" s="8">
        <f>A2*0.8</f>
        <v>0</v>
      </c>
      <c r="F7" s="9" t="s">
        <v>6</v>
      </c>
      <c r="G7" s="16">
        <f t="shared" si="1"/>
        <v>-1</v>
      </c>
      <c r="I7" s="12">
        <f>E7-B2</f>
        <v>0</v>
      </c>
      <c r="J7" s="13"/>
    </row>
    <row r="8">
      <c r="C8" s="19"/>
      <c r="D8" s="7" t="s">
        <v>13</v>
      </c>
      <c r="E8" s="8">
        <f>A2*0.79</f>
        <v>0</v>
      </c>
      <c r="F8" s="9" t="s">
        <v>6</v>
      </c>
      <c r="G8" s="16">
        <f t="shared" si="1"/>
        <v>-1</v>
      </c>
      <c r="I8" s="12">
        <f>E8-B2</f>
        <v>0</v>
      </c>
    </row>
    <row r="9">
      <c r="C9" s="19"/>
      <c r="D9" s="7" t="s">
        <v>14</v>
      </c>
      <c r="E9" s="8">
        <f>A2*0.75</f>
        <v>0</v>
      </c>
      <c r="F9" s="9" t="s">
        <v>6</v>
      </c>
      <c r="G9" s="16">
        <f t="shared" si="1"/>
        <v>-1</v>
      </c>
      <c r="I9" s="12">
        <f>E9-B2</f>
        <v>0</v>
      </c>
    </row>
    <row r="10">
      <c r="C10" s="19"/>
      <c r="D10" s="7" t="s">
        <v>15</v>
      </c>
      <c r="E10" s="8">
        <f>A2*0.7</f>
        <v>0</v>
      </c>
      <c r="F10" s="9" t="s">
        <v>6</v>
      </c>
      <c r="G10" s="16">
        <f t="shared" si="1"/>
        <v>-1</v>
      </c>
      <c r="I10" s="12">
        <f>E10-B2</f>
        <v>0</v>
      </c>
    </row>
    <row r="11">
      <c r="C11" s="19"/>
      <c r="D11" s="7" t="s">
        <v>16</v>
      </c>
      <c r="E11" s="8">
        <f>A2*0.69</f>
        <v>0</v>
      </c>
      <c r="F11" s="9" t="s">
        <v>6</v>
      </c>
      <c r="G11" s="16">
        <f t="shared" si="1"/>
        <v>-1</v>
      </c>
      <c r="I11" s="12">
        <f>E11-B2</f>
        <v>0</v>
      </c>
    </row>
    <row r="12">
      <c r="C12" s="19"/>
      <c r="D12" s="7" t="s">
        <v>17</v>
      </c>
      <c r="E12" s="8">
        <f>A2*0.61</f>
        <v>0</v>
      </c>
      <c r="F12" s="9" t="s">
        <v>6</v>
      </c>
      <c r="G12" s="16">
        <f t="shared" si="1"/>
        <v>-1</v>
      </c>
      <c r="I12" s="12">
        <f>E12-B2</f>
        <v>0</v>
      </c>
    </row>
    <row r="13">
      <c r="C13" s="19"/>
      <c r="D13" s="7" t="s">
        <v>18</v>
      </c>
      <c r="E13" s="8">
        <f>A2*0.6</f>
        <v>0</v>
      </c>
      <c r="F13" s="9" t="s">
        <v>6</v>
      </c>
      <c r="G13" s="16">
        <f t="shared" si="1"/>
        <v>-1</v>
      </c>
      <c r="I13" s="20">
        <f>E13-B2</f>
        <v>0</v>
      </c>
    </row>
    <row r="14">
      <c r="C14" s="19"/>
      <c r="D14" s="7" t="s">
        <v>19</v>
      </c>
      <c r="E14" s="8">
        <f>A2*0.59</f>
        <v>0</v>
      </c>
      <c r="F14" s="9" t="s">
        <v>20</v>
      </c>
      <c r="G14" s="21" t="s">
        <v>21</v>
      </c>
      <c r="I14" s="22" t="s">
        <v>22</v>
      </c>
    </row>
    <row r="15">
      <c r="C15" s="19"/>
    </row>
    <row r="16" ht="33.0" customHeight="1">
      <c r="A16" s="23"/>
      <c r="B16" s="23"/>
      <c r="C16" s="19"/>
    </row>
    <row r="17" ht="58.5" customHeight="1">
      <c r="A17" s="24"/>
      <c r="B17" s="24"/>
      <c r="C17" s="19"/>
    </row>
    <row r="18">
      <c r="C18" s="19"/>
    </row>
    <row r="19">
      <c r="C19" s="19"/>
    </row>
    <row r="20">
      <c r="A20" s="25" t="s">
        <v>23</v>
      </c>
      <c r="B20" s="25" t="s">
        <v>24</v>
      </c>
      <c r="C20" s="19"/>
    </row>
    <row r="21">
      <c r="A21" s="25" t="s">
        <v>25</v>
      </c>
      <c r="B21" s="25" t="s">
        <v>26</v>
      </c>
      <c r="C21" s="19"/>
    </row>
    <row r="22">
      <c r="A22" s="25" t="s">
        <v>27</v>
      </c>
      <c r="C22" s="19"/>
    </row>
    <row r="23">
      <c r="A23" s="26" t="s">
        <v>28</v>
      </c>
      <c r="C23" s="19"/>
    </row>
    <row r="24">
      <c r="A24" s="26" t="s">
        <v>29</v>
      </c>
      <c r="C24" s="19"/>
    </row>
    <row r="25">
      <c r="C25" s="19"/>
    </row>
  </sheetData>
  <conditionalFormatting sqref="I2:I13">
    <cfRule type="cellIs" dxfId="0" priority="1" operator="lessThanOrEqual">
      <formula>0</formula>
    </cfRule>
  </conditionalFormatting>
  <hyperlinks>
    <hyperlink r:id="rId1" ref="A23"/>
    <hyperlink r:id="rId2" ref="A2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